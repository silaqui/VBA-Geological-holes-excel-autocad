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30" windowWidth="27960" windowHeight="13350"/>
  </bookViews>
  <sheets>
    <sheet name="Otwor 1" sheetId="1" r:id="rId1"/>
    <sheet name="Otwor 2" sheetId="2" r:id="rId2"/>
    <sheet name="Otwor 3" sheetId="3" r:id="rId3"/>
  </sheets>
  <calcPr calcId="145621"/>
</workbook>
</file>

<file path=xl/calcChain.xml><?xml version="1.0" encoding="utf-8"?>
<calcChain xmlns="http://schemas.openxmlformats.org/spreadsheetml/2006/main">
  <c r="B5" i="3" l="1"/>
  <c r="B5" i="1"/>
  <c r="B5" i="2"/>
  <c r="A31" i="1" l="1"/>
  <c r="A32" i="1" s="1"/>
  <c r="A33" i="1" s="1"/>
  <c r="A34" i="1" s="1"/>
  <c r="A35" i="1" l="1"/>
  <c r="A36" i="1" s="1"/>
  <c r="A38" i="1" s="1"/>
  <c r="A39" i="1" s="1"/>
  <c r="A41" i="1" s="1"/>
  <c r="A42" i="1" l="1"/>
  <c r="A44" i="1" l="1"/>
  <c r="A45" i="1" s="1"/>
  <c r="A46" i="1" s="1"/>
  <c r="A47" i="1" s="1"/>
</calcChain>
</file>

<file path=xl/sharedStrings.xml><?xml version="1.0" encoding="utf-8"?>
<sst xmlns="http://schemas.openxmlformats.org/spreadsheetml/2006/main" count="140" uniqueCount="57">
  <si>
    <t>Nazwa</t>
  </si>
  <si>
    <t>Numer</t>
  </si>
  <si>
    <t>Odwiert</t>
  </si>
  <si>
    <t>Symbol</t>
  </si>
  <si>
    <t>Wilogtność</t>
  </si>
  <si>
    <t>Stan</t>
  </si>
  <si>
    <t>ID/IL</t>
  </si>
  <si>
    <t>Warstwa geotechniczna</t>
  </si>
  <si>
    <t>Gb</t>
  </si>
  <si>
    <t>Ps/Pd</t>
  </si>
  <si>
    <t>Pπ//Π</t>
  </si>
  <si>
    <t>Pd</t>
  </si>
  <si>
    <t>Ps/Pg</t>
  </si>
  <si>
    <t>Ps/Pr/Pg</t>
  </si>
  <si>
    <t>w</t>
  </si>
  <si>
    <t>nw</t>
  </si>
  <si>
    <t>ln</t>
  </si>
  <si>
    <t>szg</t>
  </si>
  <si>
    <t>zg</t>
  </si>
  <si>
    <t>IIA</t>
  </si>
  <si>
    <t>IIB</t>
  </si>
  <si>
    <t>IID</t>
  </si>
  <si>
    <t>IIE</t>
  </si>
  <si>
    <t>Przelot [m]</t>
  </si>
  <si>
    <t>Głębokość</t>
  </si>
  <si>
    <t>Rzędna</t>
  </si>
  <si>
    <t>Woda swobodna</t>
  </si>
  <si>
    <t>Woda ustabilizowana</t>
  </si>
  <si>
    <t xml:space="preserve">Rysuje na aktywnym rysunku w autocad'zie </t>
  </si>
  <si>
    <t>Ostatni wers tabeli powinien zawierać tylko przelot o wartości głębokości odwiertu (tylko to będzie z niego rysowane)</t>
  </si>
  <si>
    <t>Brak podania symbolu spowoduje nie opisanie danej warstwy</t>
  </si>
  <si>
    <t>Jeżeli nie ma włączonego cad'a uruchomi go na domyślnym szablonie</t>
  </si>
  <si>
    <t>Korzysta z ustawień czcionek arkusza cad</t>
  </si>
  <si>
    <t>Można powielać arkusze w excelu, nazwy bez znaczenia</t>
  </si>
  <si>
    <t>Nie podanie wartość głębokości (woda i warstwy) spowoduje przyjęcie w tym miejscu 0</t>
  </si>
  <si>
    <t>I</t>
  </si>
  <si>
    <t>Gp/Pd</t>
  </si>
  <si>
    <t>tpl</t>
  </si>
  <si>
    <t>IIH</t>
  </si>
  <si>
    <t>Punkt wstawienia:</t>
  </si>
  <si>
    <t>X</t>
  </si>
  <si>
    <t>Y</t>
  </si>
  <si>
    <t>Przesunięcie dla wielu:</t>
  </si>
  <si>
    <t>delta X</t>
  </si>
  <si>
    <t>Nazwa, numer, wilgotność, stan itp. Mogą pozostać puste</t>
  </si>
  <si>
    <t>Pisanie formuł nie wpływa na działanie</t>
  </si>
  <si>
    <t>Może się pogubić przy odpalonych kilku cadach</t>
  </si>
  <si>
    <t>Wstawianie na rzędnej</t>
  </si>
  <si>
    <t>(T/N)</t>
  </si>
  <si>
    <t>n</t>
  </si>
  <si>
    <t xml:space="preserve">Po narysowaniu ustawia widok żeby wszystkie elementy w modelu były na ekranie </t>
  </si>
  <si>
    <t>Zoom All</t>
  </si>
  <si>
    <t>t</t>
  </si>
  <si>
    <t xml:space="preserve">Ilość wersów tabeli gruntu i wody jest dowolna </t>
  </si>
  <si>
    <t>Nie pisać w pod tabelami, skrypt liczy ilość wersów szukając najniższej zapisanej komórkach w kolumnach E i L</t>
  </si>
  <si>
    <t>Rysowanie wszystkich arkuszy korzysta z ustawień arkusza na którym jest aktywowane (punkt wstawienia i przesunięcie)</t>
  </si>
  <si>
    <t>Pisane dla Autocad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</si>
</sst>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8"/>
      <color theme="1"/>
      <name val="Arial"/>
      <family val="2"/>
      <charset val="238"/>
    </font>
    <font>
      <sz val="11"/>
      <color theme="0" tint="-0.34998626667073579"/>
      <name val="Arial"/>
      <family val="2"/>
      <charset val="238"/>
    </font>
    <font>
      <b/>
      <sz val="11"/>
      <color rgb="FF00000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3" fillId="0" borderId="0" xfId="0" applyFont="1" applyAlignment="1">
      <alignment horizontal="center" vertical="center" wrapText="1"/>
    </xf>
    <xf numFmtId="165" fontId="0" fillId="0" borderId="0" xfId="0" applyNumberFormat="1"/>
    <xf numFmtId="0" fontId="0" fillId="2" borderId="0" xfId="0" applyFill="1"/>
    <xf numFmtId="165" fontId="0" fillId="2" borderId="0" xfId="0" applyNumberFormat="1" applyFill="1"/>
    <xf numFmtId="0" fontId="0" fillId="2" borderId="0" xfId="0" applyFill="1" applyAlignment="1">
      <alignment horizontal="center"/>
    </xf>
    <xf numFmtId="2" fontId="0" fillId="2" borderId="0" xfId="0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165" fontId="0" fillId="4" borderId="0" xfId="0" applyNumberFormat="1" applyFill="1"/>
    <xf numFmtId="0" fontId="0" fillId="4" borderId="0" xfId="0" applyFill="1"/>
    <xf numFmtId="0" fontId="0" fillId="4" borderId="0" xfId="0" applyFill="1" applyAlignment="1">
      <alignment horizontal="center"/>
    </xf>
    <xf numFmtId="2" fontId="0" fillId="4" borderId="0" xfId="0" applyNumberFormat="1" applyFill="1"/>
    <xf numFmtId="165" fontId="0" fillId="5" borderId="0" xfId="0" applyNumberFormat="1" applyFill="1"/>
    <xf numFmtId="0" fontId="0" fillId="5" borderId="0" xfId="0" applyFill="1"/>
    <xf numFmtId="0" fontId="0" fillId="5" borderId="0" xfId="0" applyFill="1" applyAlignment="1">
      <alignment horizontal="center"/>
    </xf>
    <xf numFmtId="2" fontId="0" fillId="3" borderId="0" xfId="0" applyNumberFormat="1" applyFill="1"/>
    <xf numFmtId="0" fontId="0" fillId="3" borderId="0" xfId="0" quotePrefix="1" applyFill="1"/>
    <xf numFmtId="0" fontId="0" fillId="2" borderId="0" xfId="0" applyFill="1" applyAlignment="1">
      <alignment horizontal="right"/>
    </xf>
    <xf numFmtId="165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quotePrefix="1"/>
    <xf numFmtId="0" fontId="1" fillId="0" borderId="0" xfId="0" applyFont="1" applyAlignment="1">
      <alignment horizontal="center"/>
    </xf>
    <xf numFmtId="0" fontId="4" fillId="0" borderId="0" xfId="0" applyFont="1"/>
    <xf numFmtId="164" fontId="0" fillId="0" borderId="0" xfId="0" applyNumberFormat="1" applyFill="1"/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P47"/>
  <sheetViews>
    <sheetView tabSelected="1" workbookViewId="0">
      <selection activeCell="J16" sqref="J16"/>
    </sheetView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6" x14ac:dyDescent="0.2">
      <c r="A1" s="4">
        <v>1</v>
      </c>
    </row>
    <row r="2" spans="1:16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6" x14ac:dyDescent="0.2">
      <c r="B3" s="24" t="s">
        <v>2</v>
      </c>
      <c r="C3" s="8">
        <v>1</v>
      </c>
      <c r="E3" s="19">
        <v>0</v>
      </c>
      <c r="F3" s="20" t="s">
        <v>8</v>
      </c>
      <c r="G3" s="21"/>
      <c r="H3" s="21"/>
      <c r="I3" s="20"/>
      <c r="J3" s="21" t="s">
        <v>35</v>
      </c>
      <c r="L3" s="20">
        <v>2.2000000000000002</v>
      </c>
      <c r="M3" s="20">
        <v>2.2000000000000002</v>
      </c>
      <c r="P3" s="7"/>
    </row>
    <row r="4" spans="1:16" ht="15" x14ac:dyDescent="0.25">
      <c r="B4" s="1" t="s">
        <v>24</v>
      </c>
      <c r="C4" s="1" t="s">
        <v>25</v>
      </c>
      <c r="E4" s="12">
        <v>0.5</v>
      </c>
      <c r="F4" s="13" t="s">
        <v>10</v>
      </c>
      <c r="G4" s="14" t="s">
        <v>14</v>
      </c>
      <c r="H4" s="14" t="s">
        <v>16</v>
      </c>
      <c r="I4" s="22">
        <v>0.15</v>
      </c>
      <c r="J4" s="14" t="s">
        <v>19</v>
      </c>
      <c r="L4" s="13">
        <v>6.2</v>
      </c>
      <c r="M4" s="23">
        <v>4.5</v>
      </c>
    </row>
    <row r="5" spans="1:16" x14ac:dyDescent="0.2">
      <c r="B5" s="32">
        <f>MAX(E1:E99996)</f>
        <v>20</v>
      </c>
      <c r="C5" s="8">
        <v>155.88</v>
      </c>
      <c r="E5" s="9">
        <v>1.3</v>
      </c>
      <c r="F5" s="8" t="s">
        <v>11</v>
      </c>
      <c r="G5" s="10"/>
      <c r="H5" s="10" t="s">
        <v>16</v>
      </c>
      <c r="I5" s="11">
        <v>0.23</v>
      </c>
      <c r="J5" s="10" t="s">
        <v>19</v>
      </c>
      <c r="L5" s="8">
        <v>9.8000000000000007</v>
      </c>
      <c r="M5" s="8">
        <v>4.5</v>
      </c>
    </row>
    <row r="6" spans="1:16" x14ac:dyDescent="0.2">
      <c r="E6" s="15">
        <v>3.2</v>
      </c>
      <c r="F6" s="16" t="s">
        <v>11</v>
      </c>
      <c r="G6" s="17" t="s">
        <v>15</v>
      </c>
      <c r="H6" s="17"/>
      <c r="I6" s="18">
        <v>0.54</v>
      </c>
      <c r="J6" s="17" t="s">
        <v>20</v>
      </c>
      <c r="L6" s="17"/>
      <c r="M6" s="17"/>
    </row>
    <row r="7" spans="1:16" x14ac:dyDescent="0.2">
      <c r="E7" s="25">
        <v>6.5</v>
      </c>
      <c r="F7" s="26" t="s">
        <v>12</v>
      </c>
      <c r="G7" s="27" t="s">
        <v>15</v>
      </c>
      <c r="H7" s="27" t="s">
        <v>17</v>
      </c>
      <c r="I7" s="28"/>
      <c r="J7" s="27" t="s">
        <v>21</v>
      </c>
      <c r="K7" s="26"/>
      <c r="L7" s="26"/>
      <c r="M7" s="26"/>
    </row>
    <row r="8" spans="1:16" x14ac:dyDescent="0.2">
      <c r="E8" s="25">
        <v>7.8</v>
      </c>
      <c r="F8" s="26" t="s">
        <v>36</v>
      </c>
      <c r="G8" s="27" t="s">
        <v>14</v>
      </c>
      <c r="H8" s="27" t="s">
        <v>37</v>
      </c>
      <c r="I8" s="28">
        <v>0.5</v>
      </c>
      <c r="J8" s="27"/>
      <c r="K8" s="26"/>
      <c r="L8" s="26"/>
      <c r="M8" s="26"/>
    </row>
    <row r="9" spans="1:16" x14ac:dyDescent="0.2">
      <c r="E9" s="7">
        <v>10.199999999999999</v>
      </c>
      <c r="F9" t="s">
        <v>13</v>
      </c>
      <c r="G9" s="27" t="s">
        <v>15</v>
      </c>
      <c r="H9" s="4" t="s">
        <v>17</v>
      </c>
      <c r="I9" s="5">
        <v>0.55000000000000004</v>
      </c>
      <c r="J9" s="4" t="s">
        <v>21</v>
      </c>
    </row>
    <row r="10" spans="1:16" x14ac:dyDescent="0.2">
      <c r="E10" s="7">
        <v>13.8</v>
      </c>
      <c r="F10" t="s">
        <v>13</v>
      </c>
      <c r="G10" s="4"/>
      <c r="H10" s="4"/>
      <c r="I10" s="5"/>
      <c r="J10" s="4"/>
    </row>
    <row r="11" spans="1:16" x14ac:dyDescent="0.2">
      <c r="E11" s="7">
        <v>15.5</v>
      </c>
      <c r="G11" s="4" t="s">
        <v>15</v>
      </c>
      <c r="H11" s="4" t="s">
        <v>18</v>
      </c>
      <c r="I11" s="5">
        <v>0.69</v>
      </c>
      <c r="J11" s="4" t="s">
        <v>38</v>
      </c>
    </row>
    <row r="12" spans="1:16" x14ac:dyDescent="0.2">
      <c r="E12" s="7">
        <v>18.399999999999999</v>
      </c>
      <c r="F12" t="s">
        <v>9</v>
      </c>
      <c r="G12" s="4" t="s">
        <v>15</v>
      </c>
      <c r="H12" s="4" t="s">
        <v>18</v>
      </c>
      <c r="I12" s="5">
        <v>0.7</v>
      </c>
      <c r="J12" s="4" t="s">
        <v>22</v>
      </c>
    </row>
    <row r="13" spans="1:16" x14ac:dyDescent="0.2">
      <c r="B13" s="4"/>
      <c r="C13" s="4"/>
      <c r="E13" s="7">
        <v>20</v>
      </c>
    </row>
    <row r="14" spans="1:16" x14ac:dyDescent="0.2">
      <c r="B14" s="4"/>
      <c r="C14" s="4"/>
      <c r="E14" s="7"/>
    </row>
    <row r="15" spans="1:16" x14ac:dyDescent="0.2">
      <c r="B15" s="31" t="s">
        <v>39</v>
      </c>
      <c r="C15" s="31"/>
    </row>
    <row r="16" spans="1:16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4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1" spans="1:3" x14ac:dyDescent="0.2">
      <c r="B21" s="31"/>
      <c r="C21" s="31"/>
    </row>
    <row r="22" spans="1:3" x14ac:dyDescent="0.2">
      <c r="B22" s="31" t="s">
        <v>47</v>
      </c>
      <c r="C22" s="31"/>
    </row>
    <row r="23" spans="1:3" x14ac:dyDescent="0.2">
      <c r="B23" s="31" t="s">
        <v>48</v>
      </c>
      <c r="C23" s="31" t="s">
        <v>49</v>
      </c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30" spans="1:3" ht="15" x14ac:dyDescent="0.25">
      <c r="A30" s="30">
        <v>1</v>
      </c>
      <c r="B30" s="35" t="s">
        <v>29</v>
      </c>
    </row>
    <row r="31" spans="1:3" x14ac:dyDescent="0.2">
      <c r="A31" s="33">
        <f>A30+1</f>
        <v>2</v>
      </c>
      <c r="B31" s="36" t="s">
        <v>30</v>
      </c>
    </row>
    <row r="32" spans="1:3" x14ac:dyDescent="0.2">
      <c r="A32" s="4">
        <f t="shared" ref="A32:A36" si="0">A31+1</f>
        <v>3</v>
      </c>
      <c r="B32" s="36" t="s">
        <v>53</v>
      </c>
    </row>
    <row r="33" spans="1:2" x14ac:dyDescent="0.2">
      <c r="A33" s="4">
        <f t="shared" si="0"/>
        <v>4</v>
      </c>
      <c r="B33" s="36" t="s">
        <v>34</v>
      </c>
    </row>
    <row r="34" spans="1:2" x14ac:dyDescent="0.2">
      <c r="A34" s="4">
        <f t="shared" si="0"/>
        <v>5</v>
      </c>
      <c r="B34" s="36" t="s">
        <v>44</v>
      </c>
    </row>
    <row r="35" spans="1:2" x14ac:dyDescent="0.2">
      <c r="A35" s="4">
        <f>A34+1</f>
        <v>6</v>
      </c>
      <c r="B35" s="36" t="s">
        <v>54</v>
      </c>
    </row>
    <row r="36" spans="1:2" x14ac:dyDescent="0.2">
      <c r="A36" s="4">
        <f t="shared" si="0"/>
        <v>7</v>
      </c>
      <c r="B36" s="36" t="s">
        <v>55</v>
      </c>
    </row>
    <row r="38" spans="1:2" x14ac:dyDescent="0.2">
      <c r="A38" s="4">
        <f>A36+1</f>
        <v>8</v>
      </c>
      <c r="B38" s="36" t="s">
        <v>33</v>
      </c>
    </row>
    <row r="39" spans="1:2" x14ac:dyDescent="0.2">
      <c r="A39" s="4">
        <f>A38+1</f>
        <v>9</v>
      </c>
      <c r="B39" s="36" t="s">
        <v>45</v>
      </c>
    </row>
    <row r="41" spans="1:2" x14ac:dyDescent="0.2">
      <c r="A41" s="4">
        <f>A39+1</f>
        <v>10</v>
      </c>
      <c r="B41" s="36" t="s">
        <v>50</v>
      </c>
    </row>
    <row r="42" spans="1:2" x14ac:dyDescent="0.2">
      <c r="A42" s="4">
        <f>A41+1</f>
        <v>11</v>
      </c>
      <c r="B42" s="36" t="s">
        <v>32</v>
      </c>
    </row>
    <row r="44" spans="1:2" x14ac:dyDescent="0.2">
      <c r="A44" s="4">
        <f>A42+1</f>
        <v>12</v>
      </c>
      <c r="B44" s="36" t="s">
        <v>28</v>
      </c>
    </row>
    <row r="45" spans="1:2" x14ac:dyDescent="0.2">
      <c r="A45" s="4">
        <f>A44+1</f>
        <v>13</v>
      </c>
      <c r="B45" s="36" t="s">
        <v>31</v>
      </c>
    </row>
    <row r="46" spans="1:2" x14ac:dyDescent="0.2">
      <c r="A46" s="4">
        <f>A45+1</f>
        <v>14</v>
      </c>
      <c r="B46" s="36" t="s">
        <v>56</v>
      </c>
    </row>
    <row r="47" spans="1:2" x14ac:dyDescent="0.2">
      <c r="A47" s="4">
        <f>A46+1</f>
        <v>15</v>
      </c>
      <c r="B47" s="36" t="s">
        <v>46</v>
      </c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52"/>
  <sheetViews>
    <sheetView workbookViewId="0"/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3" x14ac:dyDescent="0.2">
      <c r="A1" s="4">
        <v>1</v>
      </c>
    </row>
    <row r="2" spans="1:13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3" x14ac:dyDescent="0.2">
      <c r="B3" s="24" t="s">
        <v>2</v>
      </c>
      <c r="C3" s="8">
        <v>2</v>
      </c>
      <c r="E3" s="19">
        <v>0</v>
      </c>
      <c r="F3" s="20" t="s">
        <v>8</v>
      </c>
      <c r="G3" s="21"/>
      <c r="H3" s="21"/>
      <c r="I3" s="20"/>
      <c r="J3" s="21" t="s">
        <v>35</v>
      </c>
      <c r="L3" s="20">
        <v>4.5</v>
      </c>
      <c r="M3" s="20">
        <v>2.2000000000000002</v>
      </c>
    </row>
    <row r="4" spans="1:13" ht="15" x14ac:dyDescent="0.25">
      <c r="B4" s="1" t="s">
        <v>24</v>
      </c>
      <c r="C4" s="1" t="s">
        <v>25</v>
      </c>
      <c r="E4" s="12">
        <v>0.5</v>
      </c>
      <c r="F4" s="13" t="s">
        <v>10</v>
      </c>
      <c r="G4" s="14" t="s">
        <v>14</v>
      </c>
      <c r="H4" s="14" t="s">
        <v>16</v>
      </c>
      <c r="I4" s="22">
        <v>0.15</v>
      </c>
      <c r="J4" s="14" t="s">
        <v>19</v>
      </c>
      <c r="L4" s="13">
        <v>12.5</v>
      </c>
      <c r="M4" s="23">
        <v>10.5</v>
      </c>
    </row>
    <row r="5" spans="1:13" x14ac:dyDescent="0.2">
      <c r="B5" s="32">
        <f>MAX(E1:E100000)</f>
        <v>25</v>
      </c>
      <c r="C5" s="8">
        <v>160.24</v>
      </c>
      <c r="E5" s="9">
        <v>5</v>
      </c>
      <c r="F5" s="8" t="s">
        <v>11</v>
      </c>
      <c r="G5" s="10"/>
      <c r="H5" s="10" t="s">
        <v>16</v>
      </c>
      <c r="I5" s="11">
        <v>0.23</v>
      </c>
      <c r="J5" s="10" t="s">
        <v>19</v>
      </c>
      <c r="L5" s="8">
        <v>17.600000000000001</v>
      </c>
      <c r="M5" s="8">
        <v>10.5</v>
      </c>
    </row>
    <row r="6" spans="1:13" x14ac:dyDescent="0.2">
      <c r="E6" s="15">
        <v>8</v>
      </c>
      <c r="F6" s="16" t="s">
        <v>11</v>
      </c>
      <c r="G6" s="17" t="s">
        <v>15</v>
      </c>
      <c r="H6" s="17"/>
      <c r="I6" s="18">
        <v>0.54</v>
      </c>
      <c r="J6" s="17" t="s">
        <v>20</v>
      </c>
      <c r="L6" s="16">
        <v>24.3</v>
      </c>
      <c r="M6" s="16">
        <v>10.5</v>
      </c>
    </row>
    <row r="7" spans="1:13" x14ac:dyDescent="0.2">
      <c r="E7" s="25">
        <v>12</v>
      </c>
      <c r="F7" s="26" t="s">
        <v>12</v>
      </c>
      <c r="G7" s="27" t="s">
        <v>15</v>
      </c>
      <c r="H7" s="27" t="s">
        <v>17</v>
      </c>
      <c r="I7" s="28"/>
      <c r="J7" s="27" t="s">
        <v>21</v>
      </c>
      <c r="K7" s="26"/>
      <c r="L7" s="26"/>
      <c r="M7" s="26"/>
    </row>
    <row r="8" spans="1:13" x14ac:dyDescent="0.2">
      <c r="E8" s="25">
        <v>16</v>
      </c>
      <c r="F8" s="26" t="s">
        <v>36</v>
      </c>
      <c r="G8" s="27" t="s">
        <v>14</v>
      </c>
      <c r="H8" s="27" t="s">
        <v>37</v>
      </c>
      <c r="I8" s="28">
        <v>0.5</v>
      </c>
      <c r="J8" s="27"/>
      <c r="K8" s="26"/>
      <c r="L8" s="26"/>
      <c r="M8" s="26"/>
    </row>
    <row r="9" spans="1:13" x14ac:dyDescent="0.2">
      <c r="E9" s="7">
        <v>19</v>
      </c>
      <c r="F9" t="s">
        <v>13</v>
      </c>
      <c r="G9" s="27" t="s">
        <v>15</v>
      </c>
      <c r="H9" s="4" t="s">
        <v>17</v>
      </c>
      <c r="I9" s="5">
        <v>0.55000000000000004</v>
      </c>
      <c r="J9" s="4" t="s">
        <v>21</v>
      </c>
    </row>
    <row r="10" spans="1:13" x14ac:dyDescent="0.2">
      <c r="E10" s="7">
        <v>25</v>
      </c>
      <c r="G10" s="4"/>
      <c r="H10" s="4"/>
      <c r="I10" s="5"/>
      <c r="J10" s="4"/>
    </row>
    <row r="11" spans="1:13" x14ac:dyDescent="0.2">
      <c r="E11" s="7"/>
      <c r="G11" s="4"/>
      <c r="H11" s="4"/>
      <c r="I11" s="5"/>
      <c r="J11" s="4"/>
    </row>
    <row r="12" spans="1:13" x14ac:dyDescent="0.2">
      <c r="E12" s="7"/>
      <c r="G12" s="4"/>
      <c r="H12" s="4"/>
      <c r="I12" s="5"/>
      <c r="J12" s="4"/>
    </row>
    <row r="13" spans="1:13" x14ac:dyDescent="0.2">
      <c r="B13" s="4"/>
      <c r="C13" s="4"/>
      <c r="E13" s="7"/>
      <c r="G13" s="4"/>
      <c r="H13" s="4"/>
      <c r="I13" s="5"/>
      <c r="J13" s="4"/>
    </row>
    <row r="14" spans="1:13" x14ac:dyDescent="0.2">
      <c r="B14" s="4"/>
      <c r="C14" s="4"/>
      <c r="E14" s="7"/>
      <c r="G14" s="4"/>
      <c r="H14" s="4"/>
      <c r="I14" s="5"/>
      <c r="J14" s="4"/>
    </row>
    <row r="15" spans="1:13" x14ac:dyDescent="0.2">
      <c r="B15" s="31" t="s">
        <v>39</v>
      </c>
      <c r="C15" s="31"/>
    </row>
    <row r="16" spans="1:13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1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2" spans="1:3" ht="15" x14ac:dyDescent="0.25">
      <c r="A22" s="30"/>
      <c r="B22" s="31" t="s">
        <v>47</v>
      </c>
      <c r="C22" s="31"/>
    </row>
    <row r="23" spans="1:3" ht="15" x14ac:dyDescent="0.25">
      <c r="A23" s="30"/>
      <c r="B23" s="31" t="s">
        <v>48</v>
      </c>
      <c r="C23" s="31" t="s">
        <v>49</v>
      </c>
    </row>
    <row r="24" spans="1:3" ht="15" x14ac:dyDescent="0.25">
      <c r="A24" s="30"/>
      <c r="B24" s="1"/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50" spans="2:2" x14ac:dyDescent="0.2">
      <c r="B50" s="29"/>
    </row>
    <row r="51" spans="2:2" x14ac:dyDescent="0.2">
      <c r="B51" s="29"/>
    </row>
    <row r="52" spans="2:2" x14ac:dyDescent="0.2">
      <c r="B52" s="29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M52"/>
  <sheetViews>
    <sheetView workbookViewId="0"/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3" x14ac:dyDescent="0.2">
      <c r="A1" s="4">
        <v>1</v>
      </c>
    </row>
    <row r="2" spans="1:13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3" x14ac:dyDescent="0.2">
      <c r="B3" s="24"/>
      <c r="C3" s="8"/>
      <c r="E3" s="19"/>
      <c r="F3" s="20"/>
      <c r="G3" s="21"/>
      <c r="H3" s="21"/>
      <c r="I3" s="20"/>
      <c r="J3" s="21"/>
      <c r="L3" s="20"/>
      <c r="M3" s="20"/>
    </row>
    <row r="4" spans="1:13" ht="15" x14ac:dyDescent="0.25">
      <c r="B4" s="1" t="s">
        <v>24</v>
      </c>
      <c r="C4" s="1" t="s">
        <v>25</v>
      </c>
      <c r="E4" s="12"/>
      <c r="F4" s="13"/>
      <c r="G4" s="14"/>
      <c r="H4" s="14"/>
      <c r="I4" s="22"/>
      <c r="J4" s="14"/>
      <c r="L4" s="13"/>
      <c r="M4" s="23"/>
    </row>
    <row r="5" spans="1:13" x14ac:dyDescent="0.2">
      <c r="B5" s="32">
        <f>MAX(E1:E100000)</f>
        <v>0</v>
      </c>
      <c r="C5" s="8"/>
      <c r="E5" s="9"/>
      <c r="F5" s="8"/>
      <c r="G5" s="10"/>
      <c r="H5" s="10"/>
      <c r="I5" s="11"/>
      <c r="J5" s="10"/>
      <c r="L5" s="8"/>
      <c r="M5" s="8"/>
    </row>
    <row r="6" spans="1:13" x14ac:dyDescent="0.2">
      <c r="E6" s="15"/>
      <c r="F6" s="16"/>
      <c r="G6" s="17"/>
      <c r="H6" s="17"/>
      <c r="I6" s="18"/>
      <c r="J6" s="17"/>
      <c r="L6" s="16"/>
      <c r="M6" s="16"/>
    </row>
    <row r="7" spans="1:13" x14ac:dyDescent="0.2">
      <c r="E7" s="25"/>
      <c r="F7" s="26"/>
      <c r="G7" s="27"/>
      <c r="H7" s="27"/>
      <c r="I7" s="28"/>
      <c r="J7" s="27"/>
      <c r="K7" s="26"/>
      <c r="L7" s="26"/>
      <c r="M7" s="26"/>
    </row>
    <row r="8" spans="1:13" x14ac:dyDescent="0.2">
      <c r="E8" s="25"/>
      <c r="F8" s="26"/>
      <c r="G8" s="27"/>
      <c r="H8" s="27"/>
      <c r="I8" s="28"/>
      <c r="J8" s="27"/>
      <c r="K8" s="26"/>
      <c r="L8" s="26"/>
      <c r="M8" s="26"/>
    </row>
    <row r="9" spans="1:13" x14ac:dyDescent="0.2">
      <c r="E9" s="7"/>
      <c r="G9" s="27"/>
      <c r="H9" s="4"/>
      <c r="I9" s="5"/>
      <c r="J9" s="4"/>
    </row>
    <row r="10" spans="1:13" x14ac:dyDescent="0.2">
      <c r="E10" s="7"/>
      <c r="G10" s="4"/>
      <c r="H10" s="4"/>
      <c r="I10" s="5"/>
      <c r="J10" s="4"/>
    </row>
    <row r="11" spans="1:13" x14ac:dyDescent="0.2">
      <c r="E11" s="7"/>
      <c r="G11" s="4"/>
      <c r="H11" s="4"/>
      <c r="I11" s="5"/>
      <c r="J11" s="4"/>
    </row>
    <row r="12" spans="1:13" x14ac:dyDescent="0.2">
      <c r="E12" s="7"/>
      <c r="G12" s="4"/>
      <c r="H12" s="4"/>
      <c r="I12" s="5"/>
      <c r="J12" s="4"/>
    </row>
    <row r="13" spans="1:13" x14ac:dyDescent="0.2">
      <c r="B13" s="4"/>
      <c r="C13" s="4"/>
      <c r="E13" s="7"/>
      <c r="G13" s="4"/>
      <c r="H13" s="4"/>
      <c r="I13" s="5"/>
      <c r="J13" s="4"/>
    </row>
    <row r="14" spans="1:13" x14ac:dyDescent="0.2">
      <c r="B14" s="4"/>
      <c r="C14" s="4"/>
      <c r="E14" s="7"/>
      <c r="G14" s="4"/>
      <c r="H14" s="4"/>
      <c r="I14" s="5"/>
      <c r="J14" s="4"/>
    </row>
    <row r="15" spans="1:13" x14ac:dyDescent="0.2">
      <c r="B15" s="31" t="s">
        <v>39</v>
      </c>
      <c r="C15" s="31"/>
    </row>
    <row r="16" spans="1:13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1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2" spans="1:3" ht="15" x14ac:dyDescent="0.25">
      <c r="A22" s="30"/>
      <c r="B22" s="31" t="s">
        <v>47</v>
      </c>
      <c r="C22" s="31"/>
    </row>
    <row r="23" spans="1:3" ht="15" x14ac:dyDescent="0.25">
      <c r="A23" s="30"/>
      <c r="B23" s="31" t="s">
        <v>48</v>
      </c>
      <c r="C23" s="31" t="s">
        <v>49</v>
      </c>
    </row>
    <row r="24" spans="1:3" ht="15" x14ac:dyDescent="0.25">
      <c r="A24" s="30"/>
      <c r="B24" s="1"/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50" spans="2:2" x14ac:dyDescent="0.2">
      <c r="B50" s="29"/>
    </row>
    <row r="51" spans="2:2" x14ac:dyDescent="0.2">
      <c r="B51" s="29"/>
    </row>
    <row r="52" spans="2:2" x14ac:dyDescent="0.2">
      <c r="B52" s="29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Otwor 1</vt:lpstr>
      <vt:lpstr>Otwor 2</vt:lpstr>
      <vt:lpstr>Otwor 3</vt:lpstr>
    </vt:vector>
  </TitlesOfParts>
  <Company>URS Corporation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Mikołaj Woźniak</dc:creator>
  <cp:lastModifiedBy>Mikołaj Woźniak</cp:lastModifiedBy>
  <dcterms:created xsi:type="dcterms:W3CDTF">2017-04-13T10:08:45Z</dcterms:created>
  <dcterms:modified xsi:type="dcterms:W3CDTF">2017-05-25T11:18:17Z</dcterms:modified>
</cp:coreProperties>
</file>